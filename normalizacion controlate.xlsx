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<sst xmlns="http://schemas.openxmlformats.org/spreadsheetml/2006/main" count="348" uniqueCount="150">
  <si>
    <t>datos de contacto</t>
  </si>
  <si>
    <t>datos basicos</t>
  </si>
  <si>
    <t>rol</t>
  </si>
  <si>
    <t xml:space="preserve">maquina </t>
  </si>
  <si>
    <t>lote de produccion</t>
  </si>
  <si>
    <t>operaciones a realizar</t>
  </si>
  <si>
    <t>dueño de la produccion</t>
  </si>
  <si>
    <t>produccion realizada</t>
  </si>
  <si>
    <t>defecto</t>
  </si>
  <si>
    <t>3124655655, @gmail.com</t>
  </si>
  <si>
    <t>Carlos Andres Leal, 102135795516, CC</t>
  </si>
  <si>
    <t>dueño</t>
  </si>
  <si>
    <t>cerradora, dos agujas</t>
  </si>
  <si>
    <t>cerrar entrepiernas,asegurar j, unir frentes, cerrar laterales, pasadores, pisar laterales, puntas, botas</t>
  </si>
  <si>
    <t>Esteban Camargo</t>
  </si>
  <si>
    <t>hacer pasadores, filetear vistas, pegar vistas, hacer cremalleras, unir cremalleras y frentes, unir frentes, bolsillos, presillar bolsillos, cerrar entrepiernas</t>
  </si>
  <si>
    <t>2 pantalones con defecto</t>
  </si>
  <si>
    <t>3204516782,  @gmail.com</t>
  </si>
  <si>
    <t>Juan Jose Reina, 10211674516, CC</t>
  </si>
  <si>
    <t>supervisor</t>
  </si>
  <si>
    <t>filete</t>
  </si>
  <si>
    <t>filetear vistas, pegar vistas, hacer cremalleras, unir cremalleras y frentes, unir frentes, bolsillos, presillar bolsillos, cerrar entrepiernas, cerrar laterales, pretina, puntas, pasadores, pisar laterales, botas</t>
  </si>
  <si>
    <t>Zoraida Mejia</t>
  </si>
  <si>
    <t>hacer pasadores</t>
  </si>
  <si>
    <t>0 pantalones con defecto</t>
  </si>
  <si>
    <t>3157258946,  @gmail.com</t>
  </si>
  <si>
    <t>Andrea Camacho, 10211674461, CC</t>
  </si>
  <si>
    <t>empleado</t>
  </si>
  <si>
    <t>plana</t>
  </si>
  <si>
    <t xml:space="preserve"> botas</t>
  </si>
  <si>
    <t>botas</t>
  </si>
  <si>
    <t>5 pantalones con defecto</t>
  </si>
  <si>
    <t>3125643665, @gmail.com</t>
  </si>
  <si>
    <t>Viviana Bohorques, 102116744611, CC</t>
  </si>
  <si>
    <t xml:space="preserve"> cerrar laterales, pretina, puntas, pasadores, pisar laterales, botas</t>
  </si>
  <si>
    <t>Andres Montenegro</t>
  </si>
  <si>
    <t>3 pantalones con defecto</t>
  </si>
  <si>
    <t>3105956465, @gmail.com</t>
  </si>
  <si>
    <t>Andres Leal, 104661365911, TI</t>
  </si>
  <si>
    <t>presilla</t>
  </si>
  <si>
    <t>hacer pasadores, filetear vistas, pegar vistas, hacer cremalleras, unir cremalleras y frentes, unir frentes, bolsillos, presillar bolsillos</t>
  </si>
  <si>
    <t>3205609656,  @gmail.com</t>
  </si>
  <si>
    <t>Ofelia Olano, 1032418909, CC</t>
  </si>
  <si>
    <t>collarin</t>
  </si>
  <si>
    <t>hacer pasadores, filetear vistas, pegar vistas, hacer cremalleras, unir cremalleras y frentes, unir frentes, bolsillos, presillar bolsillos, cerrar entrepiernas, cerrar laterales, pretina, puntas, pasadores, pisar laterales, botas</t>
  </si>
  <si>
    <t>Acaba de iniciar</t>
  </si>
  <si>
    <t>1FN</t>
  </si>
  <si>
    <t xml:space="preserve">    </t>
  </si>
  <si>
    <t>numero de telefono</t>
  </si>
  <si>
    <t>correo electonico</t>
  </si>
  <si>
    <t>nombres</t>
  </si>
  <si>
    <t>apellidos</t>
  </si>
  <si>
    <t>documento</t>
  </si>
  <si>
    <t>Tipo de Documento</t>
  </si>
  <si>
    <t xml:space="preserve"> @gmail.com</t>
  </si>
  <si>
    <t xml:space="preserve">Carlos Andres </t>
  </si>
  <si>
    <t xml:space="preserve">Leal </t>
  </si>
  <si>
    <t>Cedula de Ciudadania</t>
  </si>
  <si>
    <t>@gmail.com</t>
  </si>
  <si>
    <t>Juan Jose</t>
  </si>
  <si>
    <t xml:space="preserve">Reina </t>
  </si>
  <si>
    <t xml:space="preserve">Andrea </t>
  </si>
  <si>
    <t xml:space="preserve">Camacho </t>
  </si>
  <si>
    <t xml:space="preserve">Viviana </t>
  </si>
  <si>
    <t xml:space="preserve">Bohorques </t>
  </si>
  <si>
    <t xml:space="preserve">Andres </t>
  </si>
  <si>
    <t>Tarjeta de Identidad</t>
  </si>
  <si>
    <t xml:space="preserve">Ofelia </t>
  </si>
  <si>
    <t>Olano, patin</t>
  </si>
  <si>
    <t>2FN</t>
  </si>
  <si>
    <t xml:space="preserve">Olano </t>
  </si>
  <si>
    <t>3FN</t>
  </si>
  <si>
    <t>Id_tDoc</t>
  </si>
  <si>
    <t>Id_rol</t>
  </si>
  <si>
    <t>Des_doc</t>
  </si>
  <si>
    <t>Cedula de ciudadania</t>
  </si>
  <si>
    <t>Tarjetade identidad</t>
  </si>
  <si>
    <t>Cedula de Extrangeria</t>
  </si>
  <si>
    <t>Pasaporte</t>
  </si>
  <si>
    <t>VISA</t>
  </si>
  <si>
    <t>Des_rol</t>
  </si>
  <si>
    <t>Id_maquina</t>
  </si>
  <si>
    <t>Des_maquina</t>
  </si>
  <si>
    <t>estado</t>
  </si>
  <si>
    <t>Id_habilidad</t>
  </si>
  <si>
    <t>id_empleado</t>
  </si>
  <si>
    <t>des_habilidad</t>
  </si>
  <si>
    <t>Dueño</t>
  </si>
  <si>
    <t>Plana1</t>
  </si>
  <si>
    <t>Bueno</t>
  </si>
  <si>
    <t>Supervisor</t>
  </si>
  <si>
    <t>Plana2</t>
  </si>
  <si>
    <t>Empleado</t>
  </si>
  <si>
    <t>Filete1</t>
  </si>
  <si>
    <t>Filete2</t>
  </si>
  <si>
    <t>Revison constante</t>
  </si>
  <si>
    <t>Presilladora</t>
  </si>
  <si>
    <t>Revision constante</t>
  </si>
  <si>
    <t>Collarin</t>
  </si>
  <si>
    <t>Dos agujas</t>
  </si>
  <si>
    <t>Cerradora</t>
  </si>
  <si>
    <t>Id_cliente</t>
  </si>
  <si>
    <t>nombre cliente</t>
  </si>
  <si>
    <t>apellido cliene</t>
  </si>
  <si>
    <t>telefono cliente</t>
  </si>
  <si>
    <t>Id_defecto</t>
  </si>
  <si>
    <t>fecha</t>
  </si>
  <si>
    <t>id_supervisor</t>
  </si>
  <si>
    <t>descripcion</t>
  </si>
  <si>
    <t>id_lote</t>
  </si>
  <si>
    <t xml:space="preserve">Esteban </t>
  </si>
  <si>
    <t>Camargo</t>
  </si>
  <si>
    <t xml:space="preserve">Zoraida </t>
  </si>
  <si>
    <t>Mejia</t>
  </si>
  <si>
    <t>Montenegro</t>
  </si>
  <si>
    <t>Id_Corte</t>
  </si>
  <si>
    <t>Cantidad</t>
  </si>
  <si>
    <t>Id_operacion</t>
  </si>
  <si>
    <t>costo_operacion</t>
  </si>
  <si>
    <t>Id_empasignado</t>
  </si>
  <si>
    <t>Id_maquina asignada</t>
  </si>
  <si>
    <t>Fecha_inicio</t>
  </si>
  <si>
    <t>Hora_inicio</t>
  </si>
  <si>
    <t>filetear vistas,</t>
  </si>
  <si>
    <t xml:space="preserve"> pegar vistas, </t>
  </si>
  <si>
    <t>hacer cremalleras,</t>
  </si>
  <si>
    <t xml:space="preserve"> unir cremalleras y frentes, </t>
  </si>
  <si>
    <t xml:space="preserve">bolsillos, </t>
  </si>
  <si>
    <t xml:space="preserve">presillar bolsillos, </t>
  </si>
  <si>
    <t xml:space="preserve">cerrar entrepiernas, </t>
  </si>
  <si>
    <t>cerrar laterales,</t>
  </si>
  <si>
    <t>Id_produccion</t>
  </si>
  <si>
    <t>Id_corte</t>
  </si>
  <si>
    <t>Id_empleado</t>
  </si>
  <si>
    <t>cantidad</t>
  </si>
  <si>
    <t>costo total</t>
  </si>
  <si>
    <t>fecha_fin</t>
  </si>
  <si>
    <t>Hora_fin</t>
  </si>
  <si>
    <t xml:space="preserve"> pretina, </t>
  </si>
  <si>
    <t xml:space="preserve">puntas, </t>
  </si>
  <si>
    <t xml:space="preserve">pasadores, </t>
  </si>
  <si>
    <t>pisar laterales,</t>
  </si>
  <si>
    <t>cantidad de pago</t>
  </si>
  <si>
    <t>id_operario</t>
  </si>
  <si>
    <t>rendimiento</t>
  </si>
  <si>
    <t>pago</t>
  </si>
  <si>
    <t>2 horas</t>
  </si>
  <si>
    <t>no pago</t>
  </si>
  <si>
    <t>5 horas</t>
  </si>
  <si>
    <t>7 horas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</si>
</sst>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1F1F1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/>
    </xf>
    <xf borderId="0" fillId="5" fontId="2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5" fontId="1" numFmtId="164" xfId="0" applyAlignment="1" applyFill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5" fontId="1" numFmtId="0" xfId="0" applyAlignment="1" applyFill="1" applyFont="1">
      <alignment readingOrder="0" shrinkToFit="0" vertical="center" wrapText="1"/>
    </xf>
    <xf borderId="0" fillId="5" fontId="1" numFmtId="164" xfId="0" applyAlignment="1" applyFill="1" applyFont="1" applyNumberFormat="1">
      <alignment readingOrder="0" shrinkToFit="0" vertical="center" wrapText="0"/>
    </xf>
    <xf borderId="0" fillId="5" fontId="1" numFmtId="20" xfId="0" applyAlignment="1" applyFill="1" applyFont="1" applyNumberFormat="1">
      <alignment readingOrder="0" shrinkToFit="0" vertical="center" wrapText="0"/>
    </xf>
    <xf borderId="0" fillId="5" fontId="1" numFmtId="0" xfId="0" applyFill="1" applyFont="1"/>
    <xf borderId="0" fillId="5" fontId="1" numFmtId="20" xfId="0" applyAlignment="1" applyFill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I47:L55" displayName="Habilidad" name="Habilidad" id="1">
  <tableColumns count="4">
    <tableColumn name="Id_habilidad" id="1"/>
    <tableColumn name="id_empleado" id="2"/>
    <tableColumn name="des_habilidad" id="3"/>
    <tableColumn name="Id_maquina" id="4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K62:Q76" displayName="Tareas" name="Tareas" id="2">
  <tableColumns count="7">
    <tableColumn name="Id_operacion" id="1"/>
    <tableColumn name="descripcion" id="2"/>
    <tableColumn name="costo_operacion" id="3"/>
    <tableColumn name="Id_empasignado" id="4"/>
    <tableColumn name="Id_maquina asignada" id="5"/>
    <tableColumn name="Fecha_inicio" id="6"/>
    <tableColumn name="Hora_inicio" id="7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7.38"/>
    <col customWidth="1" min="4" max="4" width="15.63"/>
    <col customWidth="1" min="5" max="5" width="16.38"/>
    <col customWidth="1" min="6" max="6" width="17.13"/>
    <col customWidth="1" min="7" max="7" width="14.63"/>
    <col customWidth="1" min="8" max="8" width="18.38"/>
    <col customWidth="1" min="9" max="9" width="21.13"/>
    <col customWidth="1" min="10" max="10" width="16.38"/>
    <col customWidth="1" min="11" max="11" width="17.38"/>
    <col customWidth="1" min="12" max="12" width="18.38"/>
    <col customWidth="1" min="13" max="13" width="16.38"/>
  </cols>
  <sheetData>
    <row r="2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>
      <c r="C3" s="2" t="s">
        <v>9</v>
      </c>
      <c r="D3" s="2" t="s">
        <v>10</v>
      </c>
      <c r="E3" s="1" t="s">
        <v>11</v>
      </c>
      <c r="F3" s="1" t="s">
        <v>12</v>
      </c>
      <c r="G3" s="1">
        <v>4.0</v>
      </c>
      <c r="H3" s="2" t="s">
        <v>13</v>
      </c>
      <c r="I3" s="1" t="s">
        <v>14</v>
      </c>
      <c r="J3" s="2" t="s">
        <v>15</v>
      </c>
      <c r="K3" s="2" t="s">
        <v>16</v>
      </c>
    </row>
    <row r="4">
      <c r="C4" s="2" t="s">
        <v>17</v>
      </c>
      <c r="D4" s="3" t="s">
        <v>18</v>
      </c>
      <c r="E4" s="1" t="s">
        <v>19</v>
      </c>
      <c r="F4" s="1" t="s">
        <v>20</v>
      </c>
      <c r="G4" s="1">
        <v>5.0</v>
      </c>
      <c r="H4" s="2" t="s">
        <v>21</v>
      </c>
      <c r="I4" s="1" t="s">
        <v>22</v>
      </c>
      <c r="J4" s="2" t="s">
        <v>23</v>
      </c>
      <c r="K4" s="2" t="s">
        <v>24</v>
      </c>
    </row>
    <row r="5">
      <c r="C5" s="2" t="s">
        <v>25</v>
      </c>
      <c r="D5" s="2" t="s">
        <v>26</v>
      </c>
      <c r="E5" s="1" t="s">
        <v>27</v>
      </c>
      <c r="F5" s="1" t="s">
        <v>28</v>
      </c>
      <c r="G5" s="1">
        <v>3.0</v>
      </c>
      <c r="H5" s="2" t="s">
        <v>29</v>
      </c>
      <c r="I5" s="1" t="s">
        <v>22</v>
      </c>
      <c r="J5" s="2" t="s">
        <v>30</v>
      </c>
      <c r="K5" s="2" t="s">
        <v>31</v>
      </c>
    </row>
    <row r="6">
      <c r="C6" s="2" t="s">
        <v>32</v>
      </c>
      <c r="D6" s="2" t="s">
        <v>33</v>
      </c>
      <c r="E6" s="1" t="s">
        <v>27</v>
      </c>
      <c r="F6" s="1" t="s">
        <v>28</v>
      </c>
      <c r="G6" s="1">
        <v>2.0</v>
      </c>
      <c r="H6" s="2" t="s">
        <v>34</v>
      </c>
      <c r="I6" s="1" t="s">
        <v>35</v>
      </c>
      <c r="J6" s="2" t="s">
        <v>15</v>
      </c>
      <c r="K6" s="2" t="s">
        <v>36</v>
      </c>
    </row>
    <row r="7">
      <c r="C7" s="2" t="s">
        <v>37</v>
      </c>
      <c r="D7" s="2" t="s">
        <v>38</v>
      </c>
      <c r="E7" s="1" t="s">
        <v>27</v>
      </c>
      <c r="F7" s="1" t="s">
        <v>39</v>
      </c>
      <c r="G7" s="1">
        <v>4.0</v>
      </c>
      <c r="H7" s="2" t="s">
        <v>13</v>
      </c>
      <c r="I7" s="1" t="s">
        <v>14</v>
      </c>
      <c r="J7" s="2" t="s">
        <v>40</v>
      </c>
      <c r="K7" s="2" t="s">
        <v>16</v>
      </c>
    </row>
    <row r="8">
      <c r="C8" s="2" t="s">
        <v>41</v>
      </c>
      <c r="D8" s="2" t="s">
        <v>42</v>
      </c>
      <c r="E8" s="1" t="s">
        <v>27</v>
      </c>
      <c r="F8" s="1" t="s">
        <v>43</v>
      </c>
      <c r="G8" s="1">
        <v>1.0</v>
      </c>
      <c r="H8" s="2" t="s">
        <v>44</v>
      </c>
      <c r="I8" s="1" t="s">
        <v>14</v>
      </c>
      <c r="J8" s="2" t="s">
        <v>45</v>
      </c>
      <c r="K8" s="2" t="s">
        <v>24</v>
      </c>
    </row>
    <row r="10">
      <c r="A10" s="4" t="s">
        <v>46</v>
      </c>
    </row>
    <row r="11">
      <c r="C11" s="1" t="s">
        <v>47</v>
      </c>
    </row>
    <row r="12"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  <c r="H12" s="1" t="s">
        <v>53</v>
      </c>
      <c r="I12" s="1" t="s">
        <v>2</v>
      </c>
      <c r="J12" s="1" t="s">
        <v>3</v>
      </c>
      <c r="K12" s="1" t="s">
        <v>4</v>
      </c>
      <c r="L12" s="1" t="s">
        <v>5</v>
      </c>
      <c r="M12" s="1" t="s">
        <v>6</v>
      </c>
      <c r="N12" s="1" t="s">
        <v>7</v>
      </c>
      <c r="O12" s="1" t="s">
        <v>8</v>
      </c>
    </row>
    <row r="13">
      <c r="C13" s="2">
        <v>3.124655655E9</v>
      </c>
      <c r="D13" s="1" t="s">
        <v>54</v>
      </c>
      <c r="E13" s="2" t="s">
        <v>55</v>
      </c>
      <c r="F13" s="1" t="s">
        <v>56</v>
      </c>
      <c r="G13" s="1">
        <v>1.02135795516E11</v>
      </c>
      <c r="H13" s="1" t="s">
        <v>57</v>
      </c>
      <c r="I13" s="1" t="s">
        <v>11</v>
      </c>
      <c r="J13" s="1" t="s">
        <v>12</v>
      </c>
      <c r="K13" s="1">
        <v>4.0</v>
      </c>
      <c r="L13" s="2" t="s">
        <v>13</v>
      </c>
      <c r="M13" s="1" t="s">
        <v>14</v>
      </c>
      <c r="N13" s="2" t="s">
        <v>15</v>
      </c>
      <c r="O13" s="2" t="s">
        <v>16</v>
      </c>
    </row>
    <row r="14">
      <c r="C14" s="2">
        <v>3.204516782E9</v>
      </c>
      <c r="D14" s="1" t="s">
        <v>58</v>
      </c>
      <c r="E14" s="3" t="s">
        <v>59</v>
      </c>
      <c r="F14" s="1" t="s">
        <v>60</v>
      </c>
      <c r="G14" s="1">
        <v>1.0211674516E10</v>
      </c>
      <c r="H14" s="1" t="s">
        <v>57</v>
      </c>
      <c r="I14" s="1" t="s">
        <v>19</v>
      </c>
      <c r="J14" s="1" t="s">
        <v>20</v>
      </c>
      <c r="K14" s="1">
        <v>5.0</v>
      </c>
      <c r="L14" s="2" t="s">
        <v>21</v>
      </c>
      <c r="M14" s="1" t="s">
        <v>22</v>
      </c>
      <c r="N14" s="2" t="s">
        <v>23</v>
      </c>
      <c r="O14" s="2" t="s">
        <v>24</v>
      </c>
    </row>
    <row r="15">
      <c r="C15" s="2">
        <v>3.157258946E9</v>
      </c>
      <c r="D15" s="1" t="s">
        <v>58</v>
      </c>
      <c r="E15" s="2" t="s">
        <v>61</v>
      </c>
      <c r="F15" s="1" t="s">
        <v>62</v>
      </c>
      <c r="G15" s="1">
        <v>1.0211674461E10</v>
      </c>
      <c r="H15" s="1" t="s">
        <v>57</v>
      </c>
      <c r="I15" s="1" t="s">
        <v>27</v>
      </c>
      <c r="J15" s="1" t="s">
        <v>28</v>
      </c>
      <c r="K15" s="1">
        <v>3.0</v>
      </c>
      <c r="L15" s="2" t="s">
        <v>29</v>
      </c>
      <c r="M15" s="1" t="s">
        <v>22</v>
      </c>
      <c r="N15" s="2" t="s">
        <v>30</v>
      </c>
      <c r="O15" s="2" t="s">
        <v>31</v>
      </c>
    </row>
    <row r="16">
      <c r="C16" s="2">
        <v>3.125643665E9</v>
      </c>
      <c r="D16" s="1" t="s">
        <v>58</v>
      </c>
      <c r="E16" s="2" t="s">
        <v>63</v>
      </c>
      <c r="F16" s="1" t="s">
        <v>64</v>
      </c>
      <c r="G16" s="1">
        <v>1.02116744611E11</v>
      </c>
      <c r="H16" s="1" t="s">
        <v>57</v>
      </c>
      <c r="I16" s="1" t="s">
        <v>27</v>
      </c>
      <c r="J16" s="1" t="s">
        <v>28</v>
      </c>
      <c r="K16" s="1">
        <v>2.0</v>
      </c>
      <c r="L16" s="2" t="s">
        <v>34</v>
      </c>
      <c r="M16" s="1" t="s">
        <v>35</v>
      </c>
      <c r="N16" s="2" t="s">
        <v>15</v>
      </c>
      <c r="O16" s="2" t="s">
        <v>36</v>
      </c>
    </row>
    <row r="17">
      <c r="C17" s="2">
        <v>3.105956465E9</v>
      </c>
      <c r="D17" s="1" t="s">
        <v>58</v>
      </c>
      <c r="E17" s="2" t="s">
        <v>65</v>
      </c>
      <c r="F17" s="1" t="s">
        <v>56</v>
      </c>
      <c r="G17" s="1">
        <v>1.04661365911E11</v>
      </c>
      <c r="H17" s="1" t="s">
        <v>66</v>
      </c>
      <c r="I17" s="1" t="s">
        <v>27</v>
      </c>
      <c r="J17" s="1" t="s">
        <v>39</v>
      </c>
      <c r="K17" s="1">
        <v>4.0</v>
      </c>
      <c r="L17" s="2" t="s">
        <v>13</v>
      </c>
      <c r="M17" s="1" t="s">
        <v>14</v>
      </c>
      <c r="N17" s="2" t="s">
        <v>40</v>
      </c>
      <c r="O17" s="2" t="s">
        <v>16</v>
      </c>
    </row>
    <row r="18">
      <c r="C18" s="2">
        <v>3.205609656E9</v>
      </c>
      <c r="D18" s="1" t="s">
        <v>58</v>
      </c>
      <c r="E18" s="2" t="s">
        <v>67</v>
      </c>
      <c r="F18" s="1" t="s">
        <v>68</v>
      </c>
      <c r="G18" s="1">
        <v>1.032418909E9</v>
      </c>
      <c r="H18" s="1" t="s">
        <v>57</v>
      </c>
      <c r="I18" s="1" t="s">
        <v>27</v>
      </c>
      <c r="J18" s="1" t="s">
        <v>43</v>
      </c>
      <c r="K18" s="1">
        <v>1.0</v>
      </c>
      <c r="L18" s="2" t="s">
        <v>44</v>
      </c>
      <c r="M18" s="1" t="s">
        <v>14</v>
      </c>
      <c r="N18" s="2" t="s">
        <v>45</v>
      </c>
      <c r="O18" s="2" t="s">
        <v>24</v>
      </c>
    </row>
    <row r="20">
      <c r="A20" s="5" t="s">
        <v>69</v>
      </c>
    </row>
    <row r="22">
      <c r="B22" s="1"/>
      <c r="C22" s="6" t="s">
        <v>48</v>
      </c>
      <c r="D22" s="6" t="s">
        <v>49</v>
      </c>
      <c r="E22" s="6" t="s">
        <v>50</v>
      </c>
      <c r="F22" s="6" t="s">
        <v>51</v>
      </c>
      <c r="G22" s="6" t="s">
        <v>52</v>
      </c>
      <c r="H22" s="6" t="s">
        <v>53</v>
      </c>
      <c r="I22" s="6" t="s">
        <v>2</v>
      </c>
      <c r="J22" s="6" t="s">
        <v>3</v>
      </c>
    </row>
    <row r="23">
      <c r="B23" s="1"/>
      <c r="C23" s="7">
        <v>3.124655655E9</v>
      </c>
      <c r="D23" s="8" t="s">
        <v>54</v>
      </c>
      <c r="E23" s="7" t="s">
        <v>55</v>
      </c>
      <c r="F23" s="8" t="s">
        <v>56</v>
      </c>
      <c r="G23" s="8">
        <v>1.02135795516E11</v>
      </c>
      <c r="H23" s="8" t="s">
        <v>57</v>
      </c>
      <c r="I23" s="8" t="s">
        <v>11</v>
      </c>
      <c r="J23" s="8" t="s">
        <v>12</v>
      </c>
    </row>
    <row r="24">
      <c r="B24" s="1"/>
      <c r="C24" s="7">
        <v>3.204516782E9</v>
      </c>
      <c r="D24" s="8" t="s">
        <v>58</v>
      </c>
      <c r="E24" s="9" t="s">
        <v>59</v>
      </c>
      <c r="F24" s="8" t="s">
        <v>60</v>
      </c>
      <c r="G24" s="8">
        <v>1.0211674516E10</v>
      </c>
      <c r="H24" s="8" t="s">
        <v>57</v>
      </c>
      <c r="I24" s="8" t="s">
        <v>19</v>
      </c>
      <c r="J24" s="8" t="s">
        <v>20</v>
      </c>
    </row>
    <row r="25">
      <c r="B25" s="1"/>
      <c r="C25" s="7">
        <v>3.157258946E9</v>
      </c>
      <c r="D25" s="8" t="s">
        <v>58</v>
      </c>
      <c r="E25" s="7" t="s">
        <v>61</v>
      </c>
      <c r="F25" s="8" t="s">
        <v>62</v>
      </c>
      <c r="G25" s="8">
        <v>1.0211674461E10</v>
      </c>
      <c r="H25" s="8" t="s">
        <v>57</v>
      </c>
      <c r="I25" s="8" t="s">
        <v>27</v>
      </c>
      <c r="J25" s="8" t="s">
        <v>28</v>
      </c>
    </row>
    <row r="26">
      <c r="B26" s="1"/>
      <c r="C26" s="7">
        <v>3.125643665E9</v>
      </c>
      <c r="D26" s="8" t="s">
        <v>58</v>
      </c>
      <c r="E26" s="7" t="s">
        <v>63</v>
      </c>
      <c r="F26" s="8" t="s">
        <v>64</v>
      </c>
      <c r="G26" s="8">
        <v>1.02116744611E11</v>
      </c>
      <c r="H26" s="8" t="s">
        <v>57</v>
      </c>
      <c r="I26" s="8" t="s">
        <v>27</v>
      </c>
      <c r="J26" s="8" t="s">
        <v>28</v>
      </c>
    </row>
    <row r="27">
      <c r="B27" s="1"/>
      <c r="C27" s="7">
        <v>3.105956465E9</v>
      </c>
      <c r="D27" s="8" t="s">
        <v>58</v>
      </c>
      <c r="E27" s="7" t="s">
        <v>65</v>
      </c>
      <c r="F27" s="8" t="s">
        <v>56</v>
      </c>
      <c r="G27" s="8">
        <v>1.04661365911E11</v>
      </c>
      <c r="H27" s="8" t="s">
        <v>66</v>
      </c>
      <c r="I27" s="8" t="s">
        <v>27</v>
      </c>
      <c r="J27" s="8" t="s">
        <v>39</v>
      </c>
    </row>
    <row r="28">
      <c r="B28" s="1"/>
      <c r="C28" s="7">
        <v>3.205609656E9</v>
      </c>
      <c r="D28" s="8" t="s">
        <v>58</v>
      </c>
      <c r="E28" s="7" t="s">
        <v>67</v>
      </c>
      <c r="F28" s="8" t="s">
        <v>70</v>
      </c>
      <c r="G28" s="8">
        <v>1.032418909E9</v>
      </c>
      <c r="H28" s="8" t="s">
        <v>57</v>
      </c>
      <c r="I28" s="8" t="s">
        <v>27</v>
      </c>
      <c r="J28" s="8" t="s">
        <v>43</v>
      </c>
    </row>
    <row r="30">
      <c r="B30" s="10" t="s">
        <v>4</v>
      </c>
      <c r="C30" s="10" t="s">
        <v>5</v>
      </c>
      <c r="D30" s="10" t="s">
        <v>6</v>
      </c>
      <c r="E30" s="10" t="s">
        <v>7</v>
      </c>
      <c r="F30" s="10" t="s">
        <v>8</v>
      </c>
    </row>
    <row r="31">
      <c r="B31" s="8">
        <v>4.0</v>
      </c>
      <c r="C31" s="7" t="s">
        <v>13</v>
      </c>
      <c r="D31" s="8" t="s">
        <v>14</v>
      </c>
      <c r="E31" s="7" t="s">
        <v>15</v>
      </c>
      <c r="F31" s="7" t="s">
        <v>16</v>
      </c>
    </row>
    <row r="32">
      <c r="B32" s="8">
        <v>5.0</v>
      </c>
      <c r="C32" s="7" t="s">
        <v>21</v>
      </c>
      <c r="D32" s="8" t="s">
        <v>22</v>
      </c>
      <c r="E32" s="7" t="s">
        <v>23</v>
      </c>
      <c r="F32" s="7" t="s">
        <v>24</v>
      </c>
    </row>
    <row r="33">
      <c r="B33" s="8">
        <v>3.0</v>
      </c>
      <c r="C33" s="7" t="s">
        <v>29</v>
      </c>
      <c r="D33" s="8" t="s">
        <v>22</v>
      </c>
      <c r="E33" s="7" t="s">
        <v>30</v>
      </c>
      <c r="F33" s="7" t="s">
        <v>31</v>
      </c>
    </row>
    <row r="34">
      <c r="B34" s="8">
        <v>2.0</v>
      </c>
      <c r="C34" s="7" t="s">
        <v>34</v>
      </c>
      <c r="D34" s="8" t="s">
        <v>35</v>
      </c>
      <c r="E34" s="7" t="s">
        <v>15</v>
      </c>
      <c r="F34" s="7" t="s">
        <v>36</v>
      </c>
    </row>
    <row r="35">
      <c r="B35" s="8">
        <v>1.0</v>
      </c>
      <c r="C35" s="7" t="s">
        <v>44</v>
      </c>
      <c r="D35" s="8" t="s">
        <v>14</v>
      </c>
      <c r="E35" s="7" t="s">
        <v>45</v>
      </c>
      <c r="F35" s="7" t="s">
        <v>24</v>
      </c>
    </row>
    <row r="37">
      <c r="A37" s="5" t="s">
        <v>71</v>
      </c>
    </row>
    <row r="39">
      <c r="B39" s="6" t="s">
        <v>52</v>
      </c>
      <c r="C39" s="6" t="s">
        <v>72</v>
      </c>
      <c r="D39" s="6" t="s">
        <v>49</v>
      </c>
      <c r="E39" s="6" t="s">
        <v>50</v>
      </c>
      <c r="F39" s="6" t="s">
        <v>51</v>
      </c>
      <c r="G39" s="6" t="s">
        <v>73</v>
      </c>
      <c r="I39" s="6" t="s">
        <v>72</v>
      </c>
      <c r="J39" s="6" t="s">
        <v>74</v>
      </c>
    </row>
    <row r="40">
      <c r="B40" s="8">
        <v>1.021357955E9</v>
      </c>
      <c r="C40" s="8">
        <v>1.0</v>
      </c>
      <c r="D40" s="8" t="s">
        <v>54</v>
      </c>
      <c r="E40" s="7" t="s">
        <v>55</v>
      </c>
      <c r="F40" s="8" t="s">
        <v>56</v>
      </c>
      <c r="G40" s="8">
        <v>1.0</v>
      </c>
      <c r="I40" s="8">
        <v>1.0</v>
      </c>
      <c r="J40" s="8" t="s">
        <v>75</v>
      </c>
    </row>
    <row r="41">
      <c r="B41" s="8">
        <v>1.021167451E9</v>
      </c>
      <c r="C41" s="8">
        <v>1.0</v>
      </c>
      <c r="D41" s="8" t="s">
        <v>58</v>
      </c>
      <c r="E41" s="9" t="s">
        <v>59</v>
      </c>
      <c r="F41" s="8" t="s">
        <v>60</v>
      </c>
      <c r="G41" s="8">
        <v>2.0</v>
      </c>
      <c r="I41" s="8">
        <v>2.0</v>
      </c>
      <c r="J41" s="8" t="s">
        <v>76</v>
      </c>
    </row>
    <row r="42">
      <c r="B42" s="8">
        <v>1.021167446E9</v>
      </c>
      <c r="C42" s="8">
        <v>1.0</v>
      </c>
      <c r="D42" s="8" t="s">
        <v>58</v>
      </c>
      <c r="E42" s="7" t="s">
        <v>61</v>
      </c>
      <c r="F42" s="8" t="s">
        <v>62</v>
      </c>
      <c r="G42" s="8">
        <v>3.0</v>
      </c>
      <c r="I42" s="8">
        <v>3.0</v>
      </c>
      <c r="J42" s="8" t="s">
        <v>77</v>
      </c>
    </row>
    <row r="43">
      <c r="B43" s="8">
        <v>1.021167446E9</v>
      </c>
      <c r="C43" s="8">
        <v>1.0</v>
      </c>
      <c r="D43" s="8" t="s">
        <v>58</v>
      </c>
      <c r="E43" s="7" t="s">
        <v>63</v>
      </c>
      <c r="F43" s="8" t="s">
        <v>64</v>
      </c>
      <c r="G43" s="8">
        <v>3.0</v>
      </c>
      <c r="I43" s="8">
        <v>4.0</v>
      </c>
      <c r="J43" s="8" t="s">
        <v>78</v>
      </c>
    </row>
    <row r="44">
      <c r="B44" s="8">
        <v>1.046613659E9</v>
      </c>
      <c r="C44" s="8">
        <v>2.0</v>
      </c>
      <c r="D44" s="8" t="s">
        <v>58</v>
      </c>
      <c r="E44" s="7" t="s">
        <v>65</v>
      </c>
      <c r="F44" s="8" t="s">
        <v>56</v>
      </c>
      <c r="G44" s="8">
        <v>3.0</v>
      </c>
      <c r="I44" s="8">
        <v>5.0</v>
      </c>
      <c r="J44" s="8" t="s">
        <v>79</v>
      </c>
    </row>
    <row r="45">
      <c r="B45" s="8">
        <v>1.032418909E9</v>
      </c>
      <c r="C45" s="8">
        <v>1.0</v>
      </c>
      <c r="D45" s="8" t="s">
        <v>58</v>
      </c>
      <c r="E45" s="7" t="s">
        <v>67</v>
      </c>
      <c r="F45" s="8" t="s">
        <v>70</v>
      </c>
      <c r="G45" s="8">
        <v>3.0</v>
      </c>
      <c r="J45" s="1"/>
    </row>
    <row r="47" ht="22.5" customHeight="1">
      <c r="B47" s="6" t="s">
        <v>73</v>
      </c>
      <c r="C47" s="6" t="s">
        <v>80</v>
      </c>
      <c r="E47" s="6" t="s">
        <v>81</v>
      </c>
      <c r="F47" s="6" t="s">
        <v>82</v>
      </c>
      <c r="G47" s="6" t="s">
        <v>83</v>
      </c>
      <c r="I47" s="11" t="s">
        <v>84</v>
      </c>
      <c r="J47" s="11" t="s">
        <v>85</v>
      </c>
      <c r="K47" s="11" t="s">
        <v>86</v>
      </c>
      <c r="L47" s="11" t="s">
        <v>81</v>
      </c>
    </row>
    <row r="48" ht="22.5" customHeight="1">
      <c r="B48" s="8">
        <v>1.0</v>
      </c>
      <c r="C48" s="8" t="s">
        <v>87</v>
      </c>
      <c r="E48" s="8">
        <v>1.0</v>
      </c>
      <c r="F48" s="8" t="s">
        <v>88</v>
      </c>
      <c r="G48" s="8" t="s">
        <v>89</v>
      </c>
      <c r="I48" s="12">
        <v>1.0</v>
      </c>
      <c r="J48" s="12">
        <v>1.021167446E9</v>
      </c>
      <c r="K48" s="12" t="s">
        <v>28</v>
      </c>
      <c r="L48" s="13">
        <v>1.0</v>
      </c>
    </row>
    <row r="49" ht="22.5" customHeight="1">
      <c r="B49" s="8">
        <v>2.0</v>
      </c>
      <c r="C49" s="8" t="s">
        <v>90</v>
      </c>
      <c r="E49" s="8">
        <v>2.0</v>
      </c>
      <c r="F49" s="8" t="s">
        <v>91</v>
      </c>
      <c r="G49" s="8" t="s">
        <v>89</v>
      </c>
      <c r="I49" s="12">
        <v>1.0</v>
      </c>
      <c r="J49" s="12">
        <v>1.021167446E9</v>
      </c>
      <c r="K49" s="12" t="s">
        <v>28</v>
      </c>
      <c r="L49" s="13">
        <v>2.0</v>
      </c>
    </row>
    <row r="50" ht="22.5" customHeight="1">
      <c r="B50" s="8">
        <v>3.0</v>
      </c>
      <c r="C50" s="8" t="s">
        <v>92</v>
      </c>
      <c r="E50" s="8">
        <v>3.0</v>
      </c>
      <c r="F50" s="8" t="s">
        <v>93</v>
      </c>
      <c r="G50" s="8" t="s">
        <v>89</v>
      </c>
      <c r="I50" s="12">
        <v>2.0</v>
      </c>
      <c r="J50" s="12">
        <v>1.021167451E9</v>
      </c>
      <c r="K50" s="12" t="s">
        <v>20</v>
      </c>
      <c r="L50" s="13">
        <v>3.0</v>
      </c>
    </row>
    <row r="51" ht="22.5" customHeight="1">
      <c r="E51" s="8">
        <v>4.0</v>
      </c>
      <c r="F51" s="8" t="s">
        <v>94</v>
      </c>
      <c r="G51" s="8" t="s">
        <v>95</v>
      </c>
      <c r="I51" s="12">
        <v>3.0</v>
      </c>
      <c r="J51" s="12">
        <v>1.046613659E9</v>
      </c>
      <c r="K51" s="12" t="s">
        <v>96</v>
      </c>
      <c r="L51" s="13">
        <v>5.0</v>
      </c>
    </row>
    <row r="52" ht="22.5" customHeight="1">
      <c r="E52" s="8">
        <v>5.0</v>
      </c>
      <c r="F52" s="8" t="s">
        <v>96</v>
      </c>
      <c r="G52" s="8" t="s">
        <v>97</v>
      </c>
      <c r="I52" s="12">
        <v>4.0</v>
      </c>
      <c r="J52" s="12">
        <v>1.032418909E9</v>
      </c>
      <c r="K52" s="12" t="s">
        <v>43</v>
      </c>
      <c r="L52" s="13">
        <v>6.0</v>
      </c>
    </row>
    <row r="53" ht="22.5" customHeight="1">
      <c r="E53" s="8">
        <v>6.0</v>
      </c>
      <c r="F53" s="8" t="s">
        <v>98</v>
      </c>
      <c r="G53" s="8" t="s">
        <v>97</v>
      </c>
      <c r="I53" s="12">
        <v>5.0</v>
      </c>
      <c r="J53" s="12">
        <v>1.021357955E9</v>
      </c>
      <c r="K53" s="12" t="s">
        <v>99</v>
      </c>
      <c r="L53" s="13">
        <v>7.0</v>
      </c>
    </row>
    <row r="54" ht="22.5" customHeight="1">
      <c r="E54" s="8">
        <v>7.0</v>
      </c>
      <c r="F54" s="8" t="s">
        <v>99</v>
      </c>
      <c r="G54" s="8" t="s">
        <v>97</v>
      </c>
      <c r="I54" s="12">
        <v>6.0</v>
      </c>
      <c r="J54" s="12">
        <v>1.021357955E9</v>
      </c>
      <c r="K54" s="12" t="s">
        <v>100</v>
      </c>
      <c r="L54" s="13">
        <v>8.0</v>
      </c>
    </row>
    <row r="55" ht="22.5" customHeight="1">
      <c r="E55" s="8">
        <v>8.0</v>
      </c>
      <c r="F55" s="8" t="s">
        <v>100</v>
      </c>
      <c r="G55" s="8" t="s">
        <v>89</v>
      </c>
      <c r="I55" s="14"/>
      <c r="L55" s="15"/>
    </row>
    <row r="57">
      <c r="B57" s="6" t="s">
        <v>101</v>
      </c>
      <c r="C57" s="6" t="s">
        <v>102</v>
      </c>
      <c r="D57" s="6" t="s">
        <v>103</v>
      </c>
      <c r="E57" s="6" t="s">
        <v>104</v>
      </c>
      <c r="H57" s="6" t="s">
        <v>105</v>
      </c>
      <c r="I57" s="6" t="s">
        <v>106</v>
      </c>
      <c r="J57" s="6" t="s">
        <v>107</v>
      </c>
      <c r="K57" s="6" t="s">
        <v>108</v>
      </c>
      <c r="L57" s="6" t="s">
        <v>109</v>
      </c>
    </row>
    <row r="58">
      <c r="B58" s="8">
        <v>1.0</v>
      </c>
      <c r="C58" s="8" t="s">
        <v>110</v>
      </c>
      <c r="D58" s="8" t="s">
        <v>111</v>
      </c>
      <c r="E58" s="8">
        <v>3.195039451E9</v>
      </c>
      <c r="H58" s="8">
        <v>1.0</v>
      </c>
      <c r="I58" s="16">
        <v>16480.0</v>
      </c>
      <c r="J58" s="8">
        <v>1.021167451E9</v>
      </c>
      <c r="K58" s="7" t="s">
        <v>36</v>
      </c>
      <c r="L58" s="8">
        <v>2.0</v>
      </c>
    </row>
    <row r="59">
      <c r="B59" s="8">
        <v>2.0</v>
      </c>
      <c r="C59" s="8" t="s">
        <v>112</v>
      </c>
      <c r="D59" s="8" t="s">
        <v>113</v>
      </c>
      <c r="E59" s="8">
        <v>3.195039451E9</v>
      </c>
      <c r="H59" s="8">
        <v>2.0</v>
      </c>
      <c r="I59" s="16">
        <v>16481.0</v>
      </c>
      <c r="J59" s="8">
        <v>1.021167451E9</v>
      </c>
      <c r="K59" s="7" t="s">
        <v>31</v>
      </c>
      <c r="L59" s="8">
        <v>3.0</v>
      </c>
    </row>
    <row r="60">
      <c r="B60" s="8">
        <v>3.0</v>
      </c>
      <c r="C60" s="8" t="s">
        <v>65</v>
      </c>
      <c r="D60" s="8" t="s">
        <v>114</v>
      </c>
      <c r="E60" s="8">
        <v>3.195039451E9</v>
      </c>
      <c r="H60" s="8">
        <v>3.0</v>
      </c>
      <c r="I60" s="16">
        <v>16482.0</v>
      </c>
      <c r="J60" s="8">
        <v>1.021167451E9</v>
      </c>
      <c r="K60" s="7" t="s">
        <v>16</v>
      </c>
      <c r="L60" s="8">
        <v>4.0</v>
      </c>
    </row>
    <row r="61">
      <c r="C61" s="1"/>
    </row>
    <row r="62" ht="22.5" customHeight="1">
      <c r="B62" s="10" t="s">
        <v>115</v>
      </c>
      <c r="C62" s="10" t="s">
        <v>101</v>
      </c>
      <c r="D62" s="10" t="s">
        <v>5</v>
      </c>
      <c r="E62" s="10" t="s">
        <v>7</v>
      </c>
      <c r="F62" s="10" t="s">
        <v>116</v>
      </c>
      <c r="G62" s="10" t="s">
        <v>8</v>
      </c>
      <c r="K62" s="11" t="s">
        <v>117</v>
      </c>
      <c r="L62" s="11" t="s">
        <v>108</v>
      </c>
      <c r="M62" s="11" t="s">
        <v>118</v>
      </c>
      <c r="N62" s="11" t="s">
        <v>119</v>
      </c>
      <c r="O62" s="11" t="s">
        <v>120</v>
      </c>
      <c r="P62" s="17" t="s">
        <v>121</v>
      </c>
      <c r="Q62" s="17" t="s">
        <v>122</v>
      </c>
    </row>
    <row r="63" ht="22.5" customHeight="1">
      <c r="B63" s="8">
        <v>1.0</v>
      </c>
      <c r="C63" s="8">
        <v>1.0</v>
      </c>
      <c r="D63" s="7" t="s">
        <v>44</v>
      </c>
      <c r="E63" s="7" t="s">
        <v>45</v>
      </c>
      <c r="F63" s="8">
        <v>170.0</v>
      </c>
      <c r="G63" s="7" t="s">
        <v>24</v>
      </c>
      <c r="K63" s="13">
        <v>1.0</v>
      </c>
      <c r="L63" s="18" t="s">
        <v>123</v>
      </c>
      <c r="M63" s="13">
        <v>7.0</v>
      </c>
      <c r="N63" s="13">
        <v>1.021167451E9</v>
      </c>
      <c r="O63" s="13">
        <v>3.0</v>
      </c>
      <c r="P63" s="19">
        <v>16876.0</v>
      </c>
      <c r="Q63" s="20">
        <v>0.9319444444444445</v>
      </c>
    </row>
    <row r="64" ht="22.5" customHeight="1">
      <c r="B64" s="8">
        <v>2.0</v>
      </c>
      <c r="C64" s="8">
        <v>3.0</v>
      </c>
      <c r="D64" s="7" t="s">
        <v>34</v>
      </c>
      <c r="E64" s="7" t="s">
        <v>15</v>
      </c>
      <c r="F64" s="8">
        <v>200.0</v>
      </c>
      <c r="G64" s="7" t="s">
        <v>36</v>
      </c>
      <c r="K64" s="13">
        <v>2.0</v>
      </c>
      <c r="L64" s="12" t="s">
        <v>124</v>
      </c>
      <c r="M64" s="13">
        <v>10.0</v>
      </c>
      <c r="N64" s="13">
        <v>1.021167446E9</v>
      </c>
      <c r="O64" s="13">
        <v>1.0</v>
      </c>
      <c r="P64" s="19">
        <v>16877.0</v>
      </c>
      <c r="Q64" s="20">
        <v>0.9736111111111111</v>
      </c>
    </row>
    <row r="65" ht="22.5" customHeight="1">
      <c r="B65" s="8">
        <v>3.0</v>
      </c>
      <c r="C65" s="8">
        <v>2.0</v>
      </c>
      <c r="D65" s="7" t="s">
        <v>29</v>
      </c>
      <c r="E65" s="7" t="s">
        <v>30</v>
      </c>
      <c r="F65" s="8">
        <v>250.0</v>
      </c>
      <c r="G65" s="7" t="s">
        <v>31</v>
      </c>
      <c r="K65" s="13">
        <v>3.0</v>
      </c>
      <c r="L65" s="12" t="s">
        <v>125</v>
      </c>
      <c r="M65" s="13">
        <v>5.0</v>
      </c>
      <c r="N65" s="13">
        <v>1.021167446E9</v>
      </c>
      <c r="O65" s="13">
        <v>2.0</v>
      </c>
      <c r="P65" s="19">
        <v>16878.0</v>
      </c>
      <c r="Q65" s="20">
        <v>1.0152777777777777</v>
      </c>
    </row>
    <row r="66" ht="22.5" customHeight="1">
      <c r="B66" s="8">
        <v>4.0</v>
      </c>
      <c r="C66" s="8">
        <v>1.0</v>
      </c>
      <c r="D66" s="7" t="s">
        <v>13</v>
      </c>
      <c r="E66" s="7" t="s">
        <v>15</v>
      </c>
      <c r="F66" s="8">
        <v>150.0</v>
      </c>
      <c r="G66" s="7" t="s">
        <v>16</v>
      </c>
      <c r="K66" s="13">
        <v>4.0</v>
      </c>
      <c r="L66" s="12" t="s">
        <v>126</v>
      </c>
      <c r="M66" s="13">
        <v>14.0</v>
      </c>
      <c r="N66" s="13">
        <v>1.021357955E9</v>
      </c>
      <c r="O66" s="13">
        <v>7.0</v>
      </c>
      <c r="P66" s="19">
        <v>16879.0</v>
      </c>
      <c r="Q66" s="20">
        <v>1.0569444444444445</v>
      </c>
    </row>
    <row r="67" ht="22.5" customHeight="1">
      <c r="B67" s="8">
        <v>5.0</v>
      </c>
      <c r="C67" s="8">
        <v>2.0</v>
      </c>
      <c r="D67" s="7" t="s">
        <v>21</v>
      </c>
      <c r="E67" s="7" t="s">
        <v>23</v>
      </c>
      <c r="F67" s="8">
        <v>120.0</v>
      </c>
      <c r="G67" s="7" t="s">
        <v>24</v>
      </c>
      <c r="K67" s="13">
        <v>5.0</v>
      </c>
      <c r="L67" s="12" t="s">
        <v>127</v>
      </c>
      <c r="M67" s="13">
        <v>84.0</v>
      </c>
      <c r="N67" s="13">
        <v>1.021167446E9</v>
      </c>
      <c r="O67" s="13">
        <v>1.0</v>
      </c>
      <c r="P67" s="19">
        <v>16880.0</v>
      </c>
      <c r="Q67" s="20">
        <v>1.0986111111111112</v>
      </c>
    </row>
    <row r="68" ht="22.5" customHeight="1">
      <c r="K68" s="13">
        <v>6.0</v>
      </c>
      <c r="L68" s="12" t="s">
        <v>128</v>
      </c>
      <c r="M68" s="13">
        <v>40.0</v>
      </c>
      <c r="N68" s="13">
        <v>1.046613659E9</v>
      </c>
      <c r="O68" s="13">
        <v>5.0</v>
      </c>
      <c r="P68" s="19">
        <v>16881.0</v>
      </c>
      <c r="Q68" s="20">
        <v>1.1402777777777777</v>
      </c>
    </row>
    <row r="69" ht="22.5" customHeight="1">
      <c r="K69" s="13">
        <v>7.0</v>
      </c>
      <c r="L69" s="12" t="s">
        <v>129</v>
      </c>
      <c r="M69" s="13">
        <v>20.0</v>
      </c>
      <c r="N69" s="13">
        <v>1.021357955E9</v>
      </c>
      <c r="O69" s="13">
        <v>8.0</v>
      </c>
      <c r="P69" s="19">
        <v>16882.0</v>
      </c>
      <c r="Q69" s="20">
        <v>1.1819444444444445</v>
      </c>
    </row>
    <row r="70" ht="22.5" customHeight="1">
      <c r="K70" s="13">
        <v>8.0</v>
      </c>
      <c r="L70" s="12" t="s">
        <v>130</v>
      </c>
      <c r="M70" s="13">
        <v>15.0</v>
      </c>
      <c r="N70" s="13">
        <v>1.021167446E9</v>
      </c>
      <c r="O70" s="13">
        <v>1.0</v>
      </c>
      <c r="P70" s="19">
        <v>16883.0</v>
      </c>
      <c r="Q70" s="20">
        <v>1.2236111111111112</v>
      </c>
    </row>
    <row r="71" ht="22.5" customHeight="1">
      <c r="B71" s="6" t="s">
        <v>131</v>
      </c>
      <c r="C71" s="6" t="s">
        <v>132</v>
      </c>
      <c r="D71" s="6" t="s">
        <v>117</v>
      </c>
      <c r="E71" s="6" t="s">
        <v>133</v>
      </c>
      <c r="F71" s="6" t="s">
        <v>134</v>
      </c>
      <c r="G71" s="6" t="s">
        <v>135</v>
      </c>
      <c r="H71" s="6" t="s">
        <v>136</v>
      </c>
      <c r="I71" s="6" t="s">
        <v>137</v>
      </c>
      <c r="K71" s="13">
        <v>9.0</v>
      </c>
      <c r="L71" s="12" t="s">
        <v>138</v>
      </c>
      <c r="M71" s="13">
        <v>30.0</v>
      </c>
      <c r="N71" s="13">
        <v>1.021167446E9</v>
      </c>
      <c r="O71" s="13">
        <v>2.0</v>
      </c>
      <c r="P71" s="19">
        <v>16884.0</v>
      </c>
      <c r="Q71" s="20">
        <v>1.2652777777777777</v>
      </c>
    </row>
    <row r="72" ht="22.5" customHeight="1">
      <c r="B72" s="8">
        <v>1.0</v>
      </c>
      <c r="C72" s="8">
        <v>5.0</v>
      </c>
      <c r="D72" s="8">
        <v>14.0</v>
      </c>
      <c r="E72" s="8">
        <v>1.032418909E9</v>
      </c>
      <c r="F72" s="8">
        <v>50.0</v>
      </c>
      <c r="G72" s="21">
        <f>M76*F72</f>
        <v>500</v>
      </c>
      <c r="H72" s="16">
        <v>17211.0</v>
      </c>
      <c r="I72" s="22">
        <v>0.1840277777777778</v>
      </c>
      <c r="K72" s="13">
        <v>10.0</v>
      </c>
      <c r="L72" s="12" t="s">
        <v>139</v>
      </c>
      <c r="M72" s="13">
        <v>10.0</v>
      </c>
      <c r="N72" s="13">
        <v>1.021167446E9</v>
      </c>
      <c r="O72" s="13">
        <v>2.0</v>
      </c>
      <c r="P72" s="19">
        <v>16885.0</v>
      </c>
      <c r="Q72" s="20">
        <v>1.3069444444444445</v>
      </c>
    </row>
    <row r="73" ht="22.5" customHeight="1">
      <c r="B73" s="8">
        <v>2.0</v>
      </c>
      <c r="C73" s="8">
        <v>4.0</v>
      </c>
      <c r="D73" s="8">
        <v>7.0</v>
      </c>
      <c r="E73" s="8">
        <v>1.021357955E9</v>
      </c>
      <c r="F73" s="8">
        <v>150.0</v>
      </c>
      <c r="G73" s="21">
        <f>M69*F73</f>
        <v>3000</v>
      </c>
      <c r="H73" s="16">
        <v>17212.0</v>
      </c>
      <c r="I73" s="22">
        <v>0.22569444444444445</v>
      </c>
      <c r="K73" s="13">
        <v>11.0</v>
      </c>
      <c r="L73" s="12" t="s">
        <v>140</v>
      </c>
      <c r="M73" s="13">
        <v>40.0</v>
      </c>
      <c r="N73" s="13">
        <v>1.046613659E9</v>
      </c>
      <c r="O73" s="13">
        <v>5.0</v>
      </c>
      <c r="P73" s="19">
        <v>16886.0</v>
      </c>
      <c r="Q73" s="20">
        <v>1.3486111111111112</v>
      </c>
    </row>
    <row r="74" ht="22.5" customHeight="1">
      <c r="B74" s="8">
        <v>3.0</v>
      </c>
      <c r="C74" s="8">
        <v>3.0</v>
      </c>
      <c r="D74" s="8">
        <v>13.0</v>
      </c>
      <c r="E74" s="8">
        <v>1.021167446E9</v>
      </c>
      <c r="F74" s="8">
        <v>500.0</v>
      </c>
      <c r="G74" s="21">
        <f>M75*F74</f>
        <v>15000</v>
      </c>
      <c r="H74" s="16">
        <v>17213.0</v>
      </c>
      <c r="I74" s="22">
        <v>0.2673611111111111</v>
      </c>
      <c r="K74" s="13">
        <v>12.0</v>
      </c>
      <c r="L74" s="12" t="s">
        <v>141</v>
      </c>
      <c r="M74" s="13">
        <v>25.0</v>
      </c>
      <c r="N74" s="13">
        <v>1.021167446E9</v>
      </c>
      <c r="O74" s="13">
        <v>1.0</v>
      </c>
      <c r="P74" s="19">
        <v>16887.0</v>
      </c>
      <c r="Q74" s="20">
        <v>1.3902777777777777</v>
      </c>
    </row>
    <row r="75" ht="22.5" customHeight="1">
      <c r="B75" s="8">
        <v>3.0</v>
      </c>
      <c r="C75" s="8">
        <v>2.0</v>
      </c>
      <c r="D75" s="8">
        <v>8.0</v>
      </c>
      <c r="E75" s="8">
        <v>1.021167446E9</v>
      </c>
      <c r="F75" s="8">
        <v>200.0</v>
      </c>
      <c r="G75" s="21">
        <f>M70*F75</f>
        <v>3000</v>
      </c>
      <c r="H75" s="16">
        <v>17214.0</v>
      </c>
      <c r="I75" s="22">
        <v>0.3090277777777778</v>
      </c>
      <c r="K75" s="13">
        <v>13.0</v>
      </c>
      <c r="L75" s="12" t="s">
        <v>29</v>
      </c>
      <c r="M75" s="13">
        <v>30.0</v>
      </c>
      <c r="N75" s="13">
        <v>1.021167446E9</v>
      </c>
      <c r="O75" s="13">
        <v>2.0</v>
      </c>
      <c r="P75" s="19">
        <v>16888.0</v>
      </c>
      <c r="Q75" s="20">
        <v>1.4319444444444445</v>
      </c>
    </row>
    <row r="76" ht="22.5" customHeight="1">
      <c r="B76" s="8">
        <v>1.0</v>
      </c>
      <c r="C76" s="8">
        <v>1.0</v>
      </c>
      <c r="D76" s="8">
        <v>14.0</v>
      </c>
      <c r="E76" s="8">
        <v>1.032418909E9</v>
      </c>
      <c r="F76" s="8">
        <v>70.0</v>
      </c>
      <c r="G76" s="21">
        <f>M76*F76</f>
        <v>700</v>
      </c>
      <c r="H76" s="16">
        <v>17215.0</v>
      </c>
      <c r="I76" s="22">
        <v>0.3506944444444444</v>
      </c>
      <c r="K76" s="13">
        <v>14.0</v>
      </c>
      <c r="L76" s="12" t="s">
        <v>23</v>
      </c>
      <c r="M76" s="13">
        <v>10.0</v>
      </c>
      <c r="N76" s="13">
        <v>1.032418909E9</v>
      </c>
      <c r="O76" s="13">
        <v>6.0</v>
      </c>
      <c r="P76" s="19">
        <v>16889.0</v>
      </c>
      <c r="Q76" s="20">
        <v>1.4736111111111112</v>
      </c>
    </row>
    <row r="77">
      <c r="B77" s="8">
        <v>3.0</v>
      </c>
      <c r="C77" s="8">
        <v>5.0</v>
      </c>
      <c r="D77" s="8">
        <v>1.0</v>
      </c>
      <c r="E77" s="8">
        <v>1.021167451E9</v>
      </c>
      <c r="F77" s="8">
        <v>120.0</v>
      </c>
      <c r="G77" s="21">
        <f>M63*F77</f>
        <v>840</v>
      </c>
      <c r="H77" s="16">
        <v>17216.0</v>
      </c>
      <c r="I77" s="22">
        <v>0.3923611111111111</v>
      </c>
    </row>
    <row r="81">
      <c r="B81" s="6" t="s">
        <v>131</v>
      </c>
      <c r="C81" s="6" t="s">
        <v>83</v>
      </c>
      <c r="D81" s="6" t="s">
        <v>142</v>
      </c>
      <c r="E81" s="6" t="s">
        <v>143</v>
      </c>
      <c r="F81" s="6" t="s">
        <v>144</v>
      </c>
    </row>
    <row r="82">
      <c r="B82" s="8">
        <v>1.0</v>
      </c>
      <c r="C82" s="8" t="s">
        <v>145</v>
      </c>
      <c r="D82" s="21">
        <f>G76+G72</f>
        <v>1200</v>
      </c>
      <c r="E82" s="8">
        <v>1.032418909E9</v>
      </c>
      <c r="F82" s="8" t="s">
        <v>146</v>
      </c>
    </row>
    <row r="83">
      <c r="B83" s="8">
        <v>2.0</v>
      </c>
      <c r="C83" s="8" t="s">
        <v>147</v>
      </c>
      <c r="D83" s="21">
        <f>G73</f>
        <v>3000</v>
      </c>
      <c r="E83" s="8">
        <v>1.021357955E9</v>
      </c>
      <c r="F83" s="8" t="s">
        <v>148</v>
      </c>
    </row>
    <row r="84">
      <c r="B84" s="8">
        <v>3.0</v>
      </c>
      <c r="C84" s="8" t="s">
        <v>147</v>
      </c>
      <c r="D84" s="21">
        <f>G77+G75+G74</f>
        <v>18840</v>
      </c>
      <c r="E84" s="8">
        <v>1.021167451E9</v>
      </c>
      <c r="F84" s="8" t="s">
        <v>149</v>
      </c>
    </row>
  </sheetData>
  <mergeCells count="3">
    <mergeCell ref="A10:K10"/>
    <mergeCell ref="A20:N20"/>
    <mergeCell ref="A37:J37"/>
  </mergeCells>
  <dataValidations>
    <dataValidation type="custom" allowBlank="1" showDropDown="1" sqref="L48:L55 K63:K76 M63:O76">
      <formula1>AND(ISNUMBER(K48),(NOT(OR(NOT(ISERROR(DATEVALUE(K48))), AND(ISNUMBER(K48), LEFT(CELL("format", K48))="D")))))</formula1>
    </dataValidation>
  </dataValidations>
  <drawing r:id="rId1"/>
  <tableParts count="2">
    <tablePart r:id="rId4"/>
    <tablePart r:id="rId5"/>
  </tableParts>
</worksheet>
</file>